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rada — Error pH" sheetId="1" state="visible" r:id="rId3"/>
    <sheet name="Salida — t_pulso" sheetId="2" state="visible" r:id="rId4"/>
    <sheet name="Base de Regl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<sst xmlns="http://schemas.openxmlformats.org/spreadsheetml/2006/main" count="107" uniqueCount="78">
  <si>
    <t xml:space="preserve">Variable de Entrada — Error de pH   (e = setpoint − pH medido)</t>
  </si>
  <si>
    <t xml:space="preserve">Universo de discurso:  e ∈ [0, 6]  unidades de pH   |   Pre-filtro: si e ≤ 0 → acción = 0 (espera al hongo)</t>
  </si>
  <si>
    <t xml:space="preserve">Conjunto</t>
  </si>
  <si>
    <t xml:space="preserve">Etiqueta</t>
  </si>
  <si>
    <t xml:space="preserve">Tipo</t>
  </si>
  <si>
    <t xml:space="preserve">a</t>
  </si>
  <si>
    <t xml:space="preserve">b</t>
  </si>
  <si>
    <t xml:space="preserve">c</t>
  </si>
  <si>
    <t xml:space="preserve">d</t>
  </si>
  <si>
    <t xml:space="preserve">Descripción</t>
  </si>
  <si>
    <t xml:space="preserve">N</t>
  </si>
  <si>
    <t xml:space="preserve">Neutro</t>
  </si>
  <si>
    <t xml:space="preserve">trimf</t>
  </si>
  <si>
    <t xml:space="preserve">N/A</t>
  </si>
  <si>
    <t xml:space="preserve">Error nulo — sistema en setpoint</t>
  </si>
  <si>
    <t xml:space="preserve">PE</t>
  </si>
  <si>
    <t xml:space="preserve">Error Pequeño</t>
  </si>
  <si>
    <t xml:space="preserve">Desviación leve, zona de alta ganancia</t>
  </si>
  <si>
    <t xml:space="preserve">ME</t>
  </si>
  <si>
    <t xml:space="preserve">Error Medio</t>
  </si>
  <si>
    <t xml:space="preserve">Desviación moderada, ganancia media</t>
  </si>
  <si>
    <t xml:space="preserve">GE</t>
  </si>
  <si>
    <t xml:space="preserve">Error Grande</t>
  </si>
  <si>
    <t xml:space="preserve">Desviación significativa, ganancia decreciente</t>
  </si>
  <si>
    <t xml:space="preserve">MG</t>
  </si>
  <si>
    <t xml:space="preserve">Error Muy Grande</t>
  </si>
  <si>
    <t xml:space="preserve">trapmf</t>
  </si>
  <si>
    <t xml:space="preserve">Zona muy ácida, ganancia mínima (~0.006 pH/ciclo)</t>
  </si>
  <si>
    <t xml:space="preserve">Nota: Los límites asimétricos de los conjuntos GE y MG se justifican por la caracterización experimental, que mostró una ganancia de solo ~0.006 pH/ciclo en la zona muy ácida (e &gt; 3), requiriendo acción correctiva máxima con anticipación.</t>
  </si>
  <si>
    <t xml:space="preserve">trimf(a,b,c): triángulo con vértice en b, cero en a y c.     trapmf(a,b,c,d): trapecio con meseta en [b,c], cero en a y d.</t>
  </si>
  <si>
    <t xml:space="preserve">Variable de Salida — Tiempo de pulso de bomba  (t_pulso)</t>
  </si>
  <si>
    <t xml:space="preserve">Universo de discurso:  t_pulso ∈ [0, 7] s   |   Q = 39 mL/s  →  V_max = 275 mL (0.5 % de 55 L)  →  T_max = 7 s</t>
  </si>
  <si>
    <t xml:space="preserve">OFF</t>
  </si>
  <si>
    <t xml:space="preserve">Sin acción</t>
  </si>
  <si>
    <t xml:space="preserve">Bomba apagada — sistema en setpoint</t>
  </si>
  <si>
    <t xml:space="preserve">POCO</t>
  </si>
  <si>
    <t xml:space="preserve">Pulso corto</t>
  </si>
  <si>
    <t xml:space="preserve">~54 mL — corrección mínima</t>
  </si>
  <si>
    <t xml:space="preserve">MEDIO</t>
  </si>
  <si>
    <t xml:space="preserve">Pulso medio</t>
  </si>
  <si>
    <t xml:space="preserve">~137 mL — corrección moderada</t>
  </si>
  <si>
    <t xml:space="preserve">MUCHO</t>
  </si>
  <si>
    <t xml:space="preserve">Pulso largo</t>
  </si>
  <si>
    <t xml:space="preserve">~218 mL — corrección significativa</t>
  </si>
  <si>
    <t xml:space="preserve">MAX</t>
  </si>
  <si>
    <t xml:space="preserve">Pulso máximo</t>
  </si>
  <si>
    <t xml:space="preserve">~275 mL — acción máxima (0.5 % vol.)</t>
  </si>
  <si>
    <t xml:space="preserve">Volumen entregado por conjunto (Q = 39 mL/s)</t>
  </si>
  <si>
    <t xml:space="preserve">t_centro [s]</t>
  </si>
  <si>
    <t xml:space="preserve">Volumen [mL]</t>
  </si>
  <si>
    <t xml:space="preserve">% del volumen total (55 L)</t>
  </si>
  <si>
    <t xml:space="preserve">Base de Reglas — Controlador Difuso Mamdani (pH Biorreactor)</t>
  </si>
  <si>
    <t xml:space="preserve">Inferencia: Mamdani  |  Defuzzificación: Centro de Gravedad (CoG)  |  Ts = 30 s</t>
  </si>
  <si>
    <t xml:space="preserve">#</t>
  </si>
  <si>
    <t xml:space="preserve">SI  (Antecedente)</t>
  </si>
  <si>
    <t xml:space="preserve">ENTONCES  (Consecuente)</t>
  </si>
  <si>
    <t xml:space="preserve">Volumen aprox. [mL]</t>
  </si>
  <si>
    <t xml:space="preserve">Justificación</t>
  </si>
  <si>
    <t xml:space="preserve">error es N  (Neutro)</t>
  </si>
  <si>
    <t xml:space="preserve">t_pulso es OFF   (0 s)</t>
  </si>
  <si>
    <t xml:space="preserve">0 mL</t>
  </si>
  <si>
    <t xml:space="preserve">Sistema en setpoint. Sin acción para evitar sobreimpulso.</t>
  </si>
  <si>
    <t xml:space="preserve">error es PE  (Error Pequeño)</t>
  </si>
  <si>
    <t xml:space="preserve">t_pulso es POCO  (1.4 s)</t>
  </si>
  <si>
    <t xml:space="preserve">~55 mL</t>
  </si>
  <si>
    <t xml:space="preserve">Desviación leve en zona de alta ganancia. Corrección mínima suficiente.</t>
  </si>
  <si>
    <t xml:space="preserve">error es ME  (Error Medio)</t>
  </si>
  <si>
    <t xml:space="preserve">t_pulso es MEDIO (3.5 s)</t>
  </si>
  <si>
    <t xml:space="preserve">~137 mL</t>
  </si>
  <si>
    <t xml:space="preserve">Desviación moderada. La ganancia experimental justifica acción media.</t>
  </si>
  <si>
    <t xml:space="preserve">error es GE  (Error Grande)</t>
  </si>
  <si>
    <t xml:space="preserve">t_pulso es MUCHO (5.6 s)</t>
  </si>
  <si>
    <t xml:space="preserve">~218 mL</t>
  </si>
  <si>
    <t xml:space="preserve">Zona de ganancia decreciente. Se incrementa acción para compensar.</t>
  </si>
  <si>
    <t xml:space="preserve">error es MG  (Error Muy Grande)</t>
  </si>
  <si>
    <t xml:space="preserve">t_pulso es MAX   (7.0 s)</t>
  </si>
  <si>
    <t xml:space="preserve">~275 mL</t>
  </si>
  <si>
    <t xml:space="preserve">Zona muy ácida, ganancia ~0.006 pH/ciclo. Acción máxima sostenida necesaria.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</si>
</sst>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#,##0&quot; mL&quot;"/>
    <numFmt numFmtId="167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BDD7EE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FFFFF"/>
      </patternFill>
    </fill>
    <fill>
      <patternFill patternType="solid">
        <fgColor rgb="FFBDD7EE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7" min="4" style="0" width="8"/>
    <col collapsed="false" customWidth="true" hidden="false" outlineLevel="0" max="8" min="8" style="0" width="4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5" hidden="false" customHeight="false" outlineLevel="0" collapsed="false">
      <c r="A4" s="4" t="s">
        <v>10</v>
      </c>
      <c r="B4" s="5" t="s">
        <v>11</v>
      </c>
      <c r="C4" s="5" t="s">
        <v>12</v>
      </c>
      <c r="D4" s="5" t="n">
        <v>0</v>
      </c>
      <c r="E4" s="5" t="n">
        <v>0</v>
      </c>
      <c r="F4" s="5" t="n">
        <v>0.4</v>
      </c>
      <c r="G4" s="5" t="s">
        <v>13</v>
      </c>
      <c r="H4" s="6" t="s">
        <v>14</v>
      </c>
    </row>
    <row r="5" customFormat="false" ht="15" hidden="false" customHeight="false" outlineLevel="0" collapsed="false">
      <c r="A5" s="7" t="s">
        <v>15</v>
      </c>
      <c r="B5" s="8" t="s">
        <v>16</v>
      </c>
      <c r="C5" s="8" t="s">
        <v>12</v>
      </c>
      <c r="D5" s="8" t="n">
        <v>0.2</v>
      </c>
      <c r="E5" s="8" t="n">
        <v>0.6</v>
      </c>
      <c r="F5" s="8" t="n">
        <v>1.2</v>
      </c>
      <c r="G5" s="8" t="s">
        <v>13</v>
      </c>
      <c r="H5" s="9" t="s">
        <v>17</v>
      </c>
    </row>
    <row r="6" customFormat="false" ht="15" hidden="false" customHeight="false" outlineLevel="0" collapsed="false">
      <c r="A6" s="4" t="s">
        <v>18</v>
      </c>
      <c r="B6" s="5" t="s">
        <v>19</v>
      </c>
      <c r="C6" s="5" t="s">
        <v>12</v>
      </c>
      <c r="D6" s="5" t="n">
        <v>1</v>
      </c>
      <c r="E6" s="5" t="n">
        <v>1.8</v>
      </c>
      <c r="F6" s="5" t="n">
        <v>2.8</v>
      </c>
      <c r="G6" s="5" t="s">
        <v>13</v>
      </c>
      <c r="H6" s="6" t="s">
        <v>20</v>
      </c>
    </row>
    <row r="7" customFormat="false" ht="15" hidden="false" customHeight="false" outlineLevel="0" collapsed="false">
      <c r="A7" s="7" t="s">
        <v>21</v>
      </c>
      <c r="B7" s="8" t="s">
        <v>22</v>
      </c>
      <c r="C7" s="8" t="s">
        <v>12</v>
      </c>
      <c r="D7" s="8" t="n">
        <v>2.3</v>
      </c>
      <c r="E7" s="8" t="n">
        <v>3.5</v>
      </c>
      <c r="F7" s="8" t="n">
        <v>5</v>
      </c>
      <c r="G7" s="8" t="s">
        <v>13</v>
      </c>
      <c r="H7" s="9" t="s">
        <v>23</v>
      </c>
    </row>
    <row r="8" customFormat="false" ht="15" hidden="false" customHeight="false" outlineLevel="0" collapsed="false">
      <c r="A8" s="4" t="s">
        <v>24</v>
      </c>
      <c r="B8" s="5" t="s">
        <v>25</v>
      </c>
      <c r="C8" s="5" t="s">
        <v>26</v>
      </c>
      <c r="D8" s="5" t="n">
        <v>4</v>
      </c>
      <c r="E8" s="5" t="n">
        <v>5</v>
      </c>
      <c r="F8" s="5" t="n">
        <v>6</v>
      </c>
      <c r="G8" s="5" t="n">
        <v>6</v>
      </c>
      <c r="H8" s="6" t="s">
        <v>27</v>
      </c>
    </row>
    <row r="10" customFormat="false" ht="37.5" hidden="false" customHeight="true" outlineLevel="0" collapsed="false">
      <c r="A10" s="10" t="s">
        <v>28</v>
      </c>
      <c r="B10" s="10"/>
      <c r="C10" s="10"/>
      <c r="D10" s="10"/>
      <c r="E10" s="10"/>
      <c r="F10" s="10"/>
      <c r="G10" s="10"/>
      <c r="H10" s="10"/>
    </row>
    <row r="12" customFormat="false" ht="15" hidden="false" customHeight="false" outlineLevel="0" collapsed="false">
      <c r="A12" s="11" t="s">
        <v>29</v>
      </c>
      <c r="B12" s="11"/>
      <c r="C12" s="11"/>
      <c r="D12" s="11"/>
      <c r="E12" s="11"/>
      <c r="F12" s="11"/>
      <c r="G12" s="11"/>
      <c r="H12" s="11"/>
    </row>
  </sheetData>
  <mergeCells count="4">
    <mergeCell ref="A1:H1"/>
    <mergeCell ref="A2:H2"/>
    <mergeCell ref="A10:H10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6"/>
    <col collapsed="false" customWidth="true" hidden="false" outlineLevel="0" max="4" min="4" style="0" width="28"/>
    <col collapsed="false" customWidth="true" hidden="false" outlineLevel="0" max="7" min="5" style="0" width="8"/>
    <col collapsed="false" customWidth="true" hidden="false" outlineLevel="0" max="8" min="8" style="0" width="48"/>
  </cols>
  <sheetData>
    <row r="1" customFormat="false" ht="30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31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5" hidden="false" customHeight="false" outlineLevel="0" collapsed="false">
      <c r="A4" s="4" t="s">
        <v>32</v>
      </c>
      <c r="B4" s="5" t="s">
        <v>33</v>
      </c>
      <c r="C4" s="5" t="s">
        <v>12</v>
      </c>
      <c r="D4" s="5" t="n">
        <v>0</v>
      </c>
      <c r="E4" s="5" t="n">
        <v>0</v>
      </c>
      <c r="F4" s="5" t="n">
        <v>0.7</v>
      </c>
      <c r="G4" s="5" t="s">
        <v>13</v>
      </c>
      <c r="H4" s="6" t="s">
        <v>34</v>
      </c>
    </row>
    <row r="5" customFormat="false" ht="15" hidden="false" customHeight="false" outlineLevel="0" collapsed="false">
      <c r="A5" s="7" t="s">
        <v>35</v>
      </c>
      <c r="B5" s="8" t="s">
        <v>36</v>
      </c>
      <c r="C5" s="8" t="s">
        <v>12</v>
      </c>
      <c r="D5" s="8" t="n">
        <v>0</v>
      </c>
      <c r="E5" s="8" t="n">
        <v>1.4</v>
      </c>
      <c r="F5" s="8" t="n">
        <v>2.8</v>
      </c>
      <c r="G5" s="8" t="s">
        <v>13</v>
      </c>
      <c r="H5" s="9" t="s">
        <v>37</v>
      </c>
    </row>
    <row r="6" customFormat="false" ht="15" hidden="false" customHeight="false" outlineLevel="0" collapsed="false">
      <c r="A6" s="4" t="s">
        <v>38</v>
      </c>
      <c r="B6" s="5" t="s">
        <v>39</v>
      </c>
      <c r="C6" s="5" t="s">
        <v>12</v>
      </c>
      <c r="D6" s="5" t="n">
        <v>2.1</v>
      </c>
      <c r="E6" s="5" t="n">
        <v>3.5</v>
      </c>
      <c r="F6" s="5" t="n">
        <v>4.9</v>
      </c>
      <c r="G6" s="5" t="s">
        <v>13</v>
      </c>
      <c r="H6" s="6" t="s">
        <v>40</v>
      </c>
    </row>
    <row r="7" customFormat="false" ht="15" hidden="false" customHeight="false" outlineLevel="0" collapsed="false">
      <c r="A7" s="7" t="s">
        <v>41</v>
      </c>
      <c r="B7" s="8" t="s">
        <v>42</v>
      </c>
      <c r="C7" s="8" t="s">
        <v>12</v>
      </c>
      <c r="D7" s="8" t="n">
        <v>4.2</v>
      </c>
      <c r="E7" s="8" t="n">
        <v>5.6</v>
      </c>
      <c r="F7" s="8" t="n">
        <v>7</v>
      </c>
      <c r="G7" s="8" t="s">
        <v>13</v>
      </c>
      <c r="H7" s="9" t="s">
        <v>43</v>
      </c>
    </row>
    <row r="8" customFormat="false" ht="15" hidden="false" customHeight="false" outlineLevel="0" collapsed="false">
      <c r="A8" s="4" t="s">
        <v>44</v>
      </c>
      <c r="B8" s="5" t="s">
        <v>45</v>
      </c>
      <c r="C8" s="5" t="s">
        <v>26</v>
      </c>
      <c r="D8" s="5" t="n">
        <v>6.3</v>
      </c>
      <c r="E8" s="5" t="n">
        <v>7</v>
      </c>
      <c r="F8" s="5" t="n">
        <v>7</v>
      </c>
      <c r="G8" s="5" t="n">
        <v>7</v>
      </c>
      <c r="H8" s="6" t="s">
        <v>46</v>
      </c>
    </row>
    <row r="10" customFormat="false" ht="15" hidden="false" customHeight="false" outlineLevel="0" collapsed="false">
      <c r="A10" s="12" t="s">
        <v>47</v>
      </c>
      <c r="B10" s="12"/>
      <c r="C10" s="12"/>
      <c r="D10" s="12"/>
      <c r="E10" s="12"/>
      <c r="F10" s="12"/>
      <c r="G10" s="12"/>
      <c r="H10" s="12"/>
    </row>
    <row r="11" customFormat="false" ht="15" hidden="false" customHeight="false" outlineLevel="0" collapsed="false">
      <c r="A11" s="13" t="s">
        <v>2</v>
      </c>
      <c r="B11" s="13" t="s">
        <v>48</v>
      </c>
      <c r="C11" s="13" t="s">
        <v>49</v>
      </c>
      <c r="D11" s="13" t="s">
        <v>50</v>
      </c>
    </row>
    <row r="12" customFormat="false" ht="15" hidden="false" customHeight="false" outlineLevel="0" collapsed="false">
      <c r="A12" s="4" t="s">
        <v>32</v>
      </c>
      <c r="B12" s="14" t="n">
        <v>0</v>
      </c>
      <c r="C12" s="15" t="n">
        <f aca="false">B12*39</f>
        <v>0</v>
      </c>
      <c r="D12" s="16" t="n">
        <f aca="false">C12/55000</f>
        <v>0</v>
      </c>
    </row>
    <row r="13" customFormat="false" ht="15" hidden="false" customHeight="false" outlineLevel="0" collapsed="false">
      <c r="A13" s="7" t="s">
        <v>35</v>
      </c>
      <c r="B13" s="17" t="n">
        <v>1.4</v>
      </c>
      <c r="C13" s="18" t="n">
        <f aca="false">B13*39</f>
        <v>54.6</v>
      </c>
      <c r="D13" s="19" t="n">
        <f aca="false">C13/55000</f>
        <v>0.000992727272727273</v>
      </c>
    </row>
    <row r="14" customFormat="false" ht="15" hidden="false" customHeight="false" outlineLevel="0" collapsed="false">
      <c r="A14" s="4" t="s">
        <v>38</v>
      </c>
      <c r="B14" s="14" t="n">
        <v>3.5</v>
      </c>
      <c r="C14" s="15" t="n">
        <f aca="false">B14*39</f>
        <v>136.5</v>
      </c>
      <c r="D14" s="16" t="n">
        <f aca="false">C14/55000</f>
        <v>0.00248181818181818</v>
      </c>
    </row>
    <row r="15" customFormat="false" ht="15" hidden="false" customHeight="false" outlineLevel="0" collapsed="false">
      <c r="A15" s="7" t="s">
        <v>41</v>
      </c>
      <c r="B15" s="17" t="n">
        <v>5.6</v>
      </c>
      <c r="C15" s="18" t="n">
        <f aca="false">B15*39</f>
        <v>218.4</v>
      </c>
      <c r="D15" s="19" t="n">
        <f aca="false">C15/55000</f>
        <v>0.00397090909090909</v>
      </c>
    </row>
    <row r="16" customFormat="false" ht="15" hidden="false" customHeight="false" outlineLevel="0" collapsed="false">
      <c r="A16" s="4" t="s">
        <v>44</v>
      </c>
      <c r="B16" s="14" t="n">
        <v>7</v>
      </c>
      <c r="C16" s="15" t="n">
        <f aca="false">B16*39</f>
        <v>273</v>
      </c>
      <c r="D16" s="16" t="n">
        <f aca="false">C16/55000</f>
        <v>0.00496363636363636</v>
      </c>
    </row>
  </sheetData>
  <mergeCells count="3">
    <mergeCell ref="A1:H1"/>
    <mergeCell ref="A2:H2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55"/>
  </cols>
  <sheetData>
    <row r="1" customFormat="false" ht="30" hidden="false" customHeight="true" outlineLevel="0" collapsed="false">
      <c r="A1" s="1" t="s">
        <v>51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52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53</v>
      </c>
      <c r="B3" s="3" t="s">
        <v>54</v>
      </c>
      <c r="C3" s="3" t="s">
        <v>55</v>
      </c>
      <c r="D3" s="3" t="s">
        <v>56</v>
      </c>
      <c r="E3" s="3" t="s">
        <v>57</v>
      </c>
    </row>
    <row r="4" customFormat="false" ht="30" hidden="false" customHeight="true" outlineLevel="0" collapsed="false">
      <c r="A4" s="4" t="n">
        <v>1</v>
      </c>
      <c r="B4" s="6" t="s">
        <v>58</v>
      </c>
      <c r="C4" s="6" t="s">
        <v>59</v>
      </c>
      <c r="D4" s="6" t="s">
        <v>60</v>
      </c>
      <c r="E4" s="20" t="s">
        <v>61</v>
      </c>
    </row>
    <row r="5" customFormat="false" ht="30" hidden="false" customHeight="true" outlineLevel="0" collapsed="false">
      <c r="A5" s="7" t="n">
        <v>2</v>
      </c>
      <c r="B5" s="9" t="s">
        <v>62</v>
      </c>
      <c r="C5" s="9" t="s">
        <v>63</v>
      </c>
      <c r="D5" s="9" t="s">
        <v>64</v>
      </c>
      <c r="E5" s="21" t="s">
        <v>65</v>
      </c>
    </row>
    <row r="6" customFormat="false" ht="30" hidden="false" customHeight="true" outlineLevel="0" collapsed="false">
      <c r="A6" s="4" t="n">
        <v>3</v>
      </c>
      <c r="B6" s="6" t="s">
        <v>66</v>
      </c>
      <c r="C6" s="6" t="s">
        <v>67</v>
      </c>
      <c r="D6" s="6" t="s">
        <v>68</v>
      </c>
      <c r="E6" s="20" t="s">
        <v>69</v>
      </c>
    </row>
    <row r="7" customFormat="false" ht="30" hidden="false" customHeight="true" outlineLevel="0" collapsed="false">
      <c r="A7" s="7" t="n">
        <v>4</v>
      </c>
      <c r="B7" s="9" t="s">
        <v>70</v>
      </c>
      <c r="C7" s="9" t="s">
        <v>71</v>
      </c>
      <c r="D7" s="9" t="s">
        <v>72</v>
      </c>
      <c r="E7" s="21" t="s">
        <v>73</v>
      </c>
    </row>
    <row r="8" customFormat="false" ht="30" hidden="false" customHeight="true" outlineLevel="0" collapsed="false">
      <c r="A8" s="4" t="n">
        <v>5</v>
      </c>
      <c r="B8" s="6" t="s">
        <v>74</v>
      </c>
      <c r="C8" s="6" t="s">
        <v>75</v>
      </c>
      <c r="D8" s="6" t="s">
        <v>76</v>
      </c>
      <c r="E8" s="20" t="s">
        <v>77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2026-06-22T09:30:19Z</dcterms:created>
  <dc:creator>openpyxl</dc:creator>
  <dc:description/>
  <dc:language>en-US</dc:language>
  <cp:lastModifiedBy/>
  <dcterms:modified xsi:type="dcterms:W3CDTF">2026-06-22T09:30:19Z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